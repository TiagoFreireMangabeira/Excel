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oni\Downloads\"/>
    </mc:Choice>
  </mc:AlternateContent>
  <xr:revisionPtr revIDLastSave="0" documentId="13_ncr:1_{917A6717-4035-4B4B-B25F-718E25C0D28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adastro (Prática)" sheetId="2" r:id="rId1"/>
    <sheet name="Cadastro (Gabarito)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18" i="1"/>
  <c r="C4" i="1"/>
  <c r="C16" i="1"/>
  <c r="C20" i="1"/>
  <c r="C21" i="1"/>
  <c r="C11" i="1"/>
  <c r="C7" i="1"/>
  <c r="C15" i="1"/>
  <c r="C22" i="1"/>
  <c r="C5" i="1"/>
  <c r="C6" i="1"/>
  <c r="C19" i="1"/>
  <c r="C9" i="1"/>
  <c r="C12" i="1"/>
  <c r="C8" i="1"/>
  <c r="C13" i="1"/>
  <c r="C14" i="1"/>
  <c r="C2" i="1"/>
  <c r="C17" i="1"/>
  <c r="C10" i="1"/>
</calcChain>
</file>

<file path=xl/sharedStrings.xml><?xml version="1.0" encoding="utf-8"?>
<sst xmlns="http://schemas.openxmlformats.org/spreadsheetml/2006/main" count="93" uniqueCount="29">
  <si>
    <t>Nome</t>
  </si>
  <si>
    <t>Nascimento</t>
  </si>
  <si>
    <t>Gênero</t>
  </si>
  <si>
    <t>CPF</t>
  </si>
  <si>
    <t>Masculino</t>
  </si>
  <si>
    <t>Idade</t>
  </si>
  <si>
    <t>João Martins</t>
  </si>
  <si>
    <t>Pedro Lima</t>
  </si>
  <si>
    <t>Bruna Dias</t>
  </si>
  <si>
    <t>Feminino</t>
  </si>
  <si>
    <t>Dielson Melo</t>
  </si>
  <si>
    <t>Outro</t>
  </si>
  <si>
    <t>Leonardo Lima</t>
  </si>
  <si>
    <t>Isabella Magalhães</t>
  </si>
  <si>
    <t>Erick Bartholo</t>
  </si>
  <si>
    <t>Taila Silvestre</t>
  </si>
  <si>
    <t>Thadeu Ahnert</t>
  </si>
  <si>
    <t>Silvana Azeredo</t>
  </si>
  <si>
    <t>José Caffaro</t>
  </si>
  <si>
    <t>Ivana Alvarenga</t>
  </si>
  <si>
    <t>Glaucia Cesar</t>
  </si>
  <si>
    <t>Maurício Balassiano</t>
  </si>
  <si>
    <t>Lenon Valladares</t>
  </si>
  <si>
    <t>Ysabella Cassabian</t>
  </si>
  <si>
    <t>Liara Eid</t>
  </si>
  <si>
    <t>Millena Alana</t>
  </si>
  <si>
    <t>Daiana França</t>
  </si>
  <si>
    <t>Caio Mendes</t>
  </si>
  <si>
    <t>Pedro Melo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</si>
</sst>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&quot;.&quot;000&quot;.&quot;000&quot;-&quot;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7">
    <dxf>
      <fill>
        <patternFill patternType="solid">
          <fgColor indexed="64"/>
          <bgColor theme="5"/>
        </patternFill>
      </fill>
      <alignment horizontal="left" vertical="bottom" textRotation="0" wrapText="0" indent="0" justifyLastLine="0" shrinkToFit="0" readingOrder="0"/>
    </dxf>
    <dxf>
      <numFmt numFmtId="164" formatCode="000&quot;.&quot;000&quot;.&quot;000&quot;-&quot;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80FFDB"/>
      <color rgb="FF560BAD"/>
      <color rgb="FF023E7D"/>
      <color rgb="FFFB5607"/>
      <color rgb="FFFFBE0B"/>
      <color rgb="FF0353A4"/>
      <color rgb="FF0466C8"/>
      <color rgb="FF3A86FF"/>
      <color rgb="FF4895EF"/>
      <color rgb="FF4361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165100</xdr:colOff>
      <xdr:row>0</xdr:row>
      <xdr:rowOff>86946</xdr:rowOff>
    </xdr:from>
    <xdr:to>
      <xdr:col>10</xdr:col>
      <xdr:colOff>387350</xdr:colOff>
      <xdr:row>10</xdr:row>
      <xdr:rowOff>114300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737736E-9D95-4B52-A57B-C053BB2D8E99}"/>
            </a:ext>
          </a:extLst>
        </xdr:cNvPr>
        <xdr:cNvSpPr/>
      </xdr:nvSpPr>
      <xdr:spPr>
        <a:xfrm>
          <a:off x="5105400" y="86946"/>
          <a:ext cx="2901950" cy="1868854"/>
        </a:xfrm>
        <a:prstGeom prst="roundRect">
          <a:avLst>
            <a:gd name="adj" fmla="val 2773"/>
          </a:avLst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223956</xdr:colOff>
      <xdr:row>0</xdr:row>
      <xdr:rowOff>145562</xdr:rowOff>
    </xdr:from>
    <xdr:to>
      <xdr:col>10</xdr:col>
      <xdr:colOff>320675</xdr:colOff>
      <xdr:row>2</xdr:row>
      <xdr:rowOff>57639</xdr:rowOff>
    </xdr:to>
    <xdr:sp macro="[0]!Formulári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452970F-F6E2-4A19-A845-198FCF6D4709}"/>
            </a:ext>
          </a:extLst>
        </xdr:cNvPr>
        <xdr:cNvSpPr/>
      </xdr:nvSpPr>
      <xdr:spPr>
        <a:xfrm>
          <a:off x="5164256" y="145562"/>
          <a:ext cx="2776419" cy="280377"/>
        </a:xfrm>
        <a:prstGeom prst="roundRect">
          <a:avLst>
            <a:gd name="adj" fmla="val 15189"/>
          </a:avLst>
        </a:prstGeom>
        <a:gradFill flip="none" rotWithShape="1">
          <a:gsLst>
            <a:gs pos="0">
              <a:srgbClr val="F72585">
                <a:shade val="30000"/>
                <a:satMod val="115000"/>
              </a:srgbClr>
            </a:gs>
            <a:gs pos="50000">
              <a:srgbClr val="F72585">
                <a:shade val="67500"/>
                <a:satMod val="115000"/>
              </a:srgbClr>
            </a:gs>
            <a:gs pos="100000">
              <a:srgbClr val="F72585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Adicionar novo cliente no cadastro</a:t>
          </a:r>
        </a:p>
      </xdr:txBody>
    </xdr:sp>
    <xdr:clientData/>
  </xdr:twoCellAnchor>
  <xdr:twoCellAnchor editAs="absolute">
    <xdr:from>
      <xdr:col>5</xdr:col>
      <xdr:colOff>223956</xdr:colOff>
      <xdr:row>2</xdr:row>
      <xdr:rowOff>133106</xdr:rowOff>
    </xdr:from>
    <xdr:to>
      <xdr:col>10</xdr:col>
      <xdr:colOff>320675</xdr:colOff>
      <xdr:row>4</xdr:row>
      <xdr:rowOff>45182</xdr:rowOff>
    </xdr:to>
    <xdr:sp macro="[0]!Alfabétic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A306A590-F5D1-4D45-B243-BF74745EA37A}"/>
            </a:ext>
          </a:extLst>
        </xdr:cNvPr>
        <xdr:cNvSpPr/>
      </xdr:nvSpPr>
      <xdr:spPr>
        <a:xfrm>
          <a:off x="5164256" y="501406"/>
          <a:ext cx="2776419" cy="280376"/>
        </a:xfrm>
        <a:prstGeom prst="roundRect">
          <a:avLst>
            <a:gd name="adj" fmla="val 15189"/>
          </a:avLst>
        </a:prstGeom>
        <a:solidFill>
          <a:srgbClr val="B5179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Colocar nomes em o</a:t>
          </a:r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rdem alfabética</a:t>
          </a:r>
        </a:p>
      </xdr:txBody>
    </xdr:sp>
    <xdr:clientData/>
  </xdr:twoCellAnchor>
  <xdr:twoCellAnchor editAs="absolute">
    <xdr:from>
      <xdr:col>5</xdr:col>
      <xdr:colOff>223956</xdr:colOff>
      <xdr:row>4</xdr:row>
      <xdr:rowOff>120649</xdr:rowOff>
    </xdr:from>
    <xdr:to>
      <xdr:col>10</xdr:col>
      <xdr:colOff>320675</xdr:colOff>
      <xdr:row>6</xdr:row>
      <xdr:rowOff>32726</xdr:rowOff>
    </xdr:to>
    <xdr:sp macro="[0]!Idade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FF38F91-A096-4399-8596-54D450276B59}"/>
            </a:ext>
          </a:extLst>
        </xdr:cNvPr>
        <xdr:cNvSpPr/>
      </xdr:nvSpPr>
      <xdr:spPr>
        <a:xfrm>
          <a:off x="5164256" y="857249"/>
          <a:ext cx="2776419" cy="280377"/>
        </a:xfrm>
        <a:prstGeom prst="roundRect">
          <a:avLst>
            <a:gd name="adj" fmla="val 15189"/>
          </a:avLst>
        </a:prstGeom>
        <a:gradFill flip="none" rotWithShape="1">
          <a:gsLst>
            <a:gs pos="0">
              <a:schemeClr val="accent6">
                <a:lumMod val="50000"/>
                <a:shade val="30000"/>
                <a:satMod val="115000"/>
              </a:schemeClr>
            </a:gs>
            <a:gs pos="50000">
              <a:schemeClr val="accent6">
                <a:lumMod val="50000"/>
                <a:shade val="67500"/>
                <a:satMod val="115000"/>
              </a:schemeClr>
            </a:gs>
            <a:gs pos="100000">
              <a:schemeClr val="accent6">
                <a:lumMod val="50000"/>
                <a:shade val="100000"/>
                <a:satMod val="115000"/>
              </a:schemeClr>
            </a:gs>
          </a:gsLst>
          <a:lin ang="135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Do mais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velho para o mais novo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10</xdr:col>
      <xdr:colOff>20061</xdr:colOff>
      <xdr:row>0</xdr:row>
      <xdr:rowOff>155687</xdr:rowOff>
    </xdr:from>
    <xdr:to>
      <xdr:col>10</xdr:col>
      <xdr:colOff>267734</xdr:colOff>
      <xdr:row>2</xdr:row>
      <xdr:rowOff>40542</xdr:rowOff>
    </xdr:to>
    <xdr:pic>
      <xdr:nvPicPr>
        <xdr:cNvPr id="19" name="Gráfico 18" descr="Usuário com preenchimento sólido">
          <a:extLst>
            <a:ext uri="{FF2B5EF4-FFF2-40B4-BE49-F238E27FC236}">
              <a16:creationId xmlns:a16="http://schemas.microsoft.com/office/drawing/2014/main" id="{11112801-FCDB-4429-9744-13AF1B86B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40061" y="155687"/>
          <a:ext cx="247673" cy="253155"/>
        </a:xfrm>
        <a:prstGeom prst="rect">
          <a:avLst/>
        </a:prstGeom>
        <a:effectLst/>
      </xdr:spPr>
    </xdr:pic>
    <xdr:clientData/>
  </xdr:twoCellAnchor>
  <xdr:twoCellAnchor editAs="absolute">
    <xdr:from>
      <xdr:col>10</xdr:col>
      <xdr:colOff>17897</xdr:colOff>
      <xdr:row>2</xdr:row>
      <xdr:rowOff>150092</xdr:rowOff>
    </xdr:from>
    <xdr:to>
      <xdr:col>10</xdr:col>
      <xdr:colOff>269897</xdr:colOff>
      <xdr:row>4</xdr:row>
      <xdr:rowOff>34946</xdr:rowOff>
    </xdr:to>
    <xdr:pic>
      <xdr:nvPicPr>
        <xdr:cNvPr id="22" name="Gráfico 21" descr="Embaralhar com preenchimento sólido">
          <a:extLst>
            <a:ext uri="{FF2B5EF4-FFF2-40B4-BE49-F238E27FC236}">
              <a16:creationId xmlns:a16="http://schemas.microsoft.com/office/drawing/2014/main" id="{2AAD7B7D-C146-4E94-B825-432392C61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637897" y="518392"/>
          <a:ext cx="252000" cy="253154"/>
        </a:xfrm>
        <a:prstGeom prst="rect">
          <a:avLst/>
        </a:prstGeom>
      </xdr:spPr>
    </xdr:pic>
    <xdr:clientData/>
  </xdr:twoCellAnchor>
  <xdr:twoCellAnchor editAs="absolute">
    <xdr:from>
      <xdr:col>10</xdr:col>
      <xdr:colOff>17897</xdr:colOff>
      <xdr:row>4</xdr:row>
      <xdr:rowOff>143164</xdr:rowOff>
    </xdr:from>
    <xdr:to>
      <xdr:col>10</xdr:col>
      <xdr:colOff>269897</xdr:colOff>
      <xdr:row>6</xdr:row>
      <xdr:rowOff>28019</xdr:rowOff>
    </xdr:to>
    <xdr:pic>
      <xdr:nvPicPr>
        <xdr:cNvPr id="24" name="Gráfico 23" descr="Calendário mensal com preenchimento sólido">
          <a:extLst>
            <a:ext uri="{FF2B5EF4-FFF2-40B4-BE49-F238E27FC236}">
              <a16:creationId xmlns:a16="http://schemas.microsoft.com/office/drawing/2014/main" id="{D4FC4253-76D2-42FD-B9E3-0FEB55481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37897" y="879764"/>
          <a:ext cx="252000" cy="253155"/>
        </a:xfrm>
        <a:prstGeom prst="rect">
          <a:avLst/>
        </a:prstGeom>
      </xdr:spPr>
    </xdr:pic>
    <xdr:clientData/>
  </xdr:twoCellAnchor>
  <xdr:twoCellAnchor editAs="absolute">
    <xdr:from>
      <xdr:col>5</xdr:col>
      <xdr:colOff>223956</xdr:colOff>
      <xdr:row>6</xdr:row>
      <xdr:rowOff>108194</xdr:rowOff>
    </xdr:from>
    <xdr:to>
      <xdr:col>10</xdr:col>
      <xdr:colOff>320675</xdr:colOff>
      <xdr:row>8</xdr:row>
      <xdr:rowOff>20271</xdr:rowOff>
    </xdr:to>
    <xdr:sp macro="[0]!Tu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7A7A4BB-C002-40D4-A4B8-5AAA1F1D0F74}"/>
            </a:ext>
          </a:extLst>
        </xdr:cNvPr>
        <xdr:cNvSpPr/>
      </xdr:nvSpPr>
      <xdr:spPr>
        <a:xfrm>
          <a:off x="5164256" y="1213094"/>
          <a:ext cx="2776419" cy="280377"/>
        </a:xfrm>
        <a:prstGeom prst="roundRect">
          <a:avLst>
            <a:gd name="adj" fmla="val 15189"/>
          </a:avLst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Limpar filtros do cadastro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de clientes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220781</xdr:colOff>
      <xdr:row>8</xdr:row>
      <xdr:rowOff>117353</xdr:rowOff>
    </xdr:from>
    <xdr:to>
      <xdr:col>6</xdr:col>
      <xdr:colOff>520700</xdr:colOff>
      <xdr:row>10</xdr:row>
      <xdr:rowOff>29429</xdr:rowOff>
    </xdr:to>
    <xdr:sp macro="[0]!Fem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14B29792-2642-4CBC-9568-8CE44354D95F}"/>
            </a:ext>
          </a:extLst>
        </xdr:cNvPr>
        <xdr:cNvSpPr/>
      </xdr:nvSpPr>
      <xdr:spPr>
        <a:xfrm>
          <a:off x="5161081" y="1590553"/>
          <a:ext cx="871419" cy="280376"/>
        </a:xfrm>
        <a:prstGeom prst="roundRect">
          <a:avLst>
            <a:gd name="adj" fmla="val 15189"/>
          </a:avLst>
        </a:prstGeom>
        <a:solidFill>
          <a:srgbClr val="0466C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Feminino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7</xdr:col>
      <xdr:colOff>68381</xdr:colOff>
      <xdr:row>8</xdr:row>
      <xdr:rowOff>117353</xdr:rowOff>
    </xdr:from>
    <xdr:to>
      <xdr:col>8</xdr:col>
      <xdr:colOff>412750</xdr:colOff>
      <xdr:row>10</xdr:row>
      <xdr:rowOff>29429</xdr:rowOff>
    </xdr:to>
    <xdr:sp macro="[0]!Mas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F1E6A608-F575-461B-933F-DC9B8A37E76C}"/>
            </a:ext>
          </a:extLst>
        </xdr:cNvPr>
        <xdr:cNvSpPr/>
      </xdr:nvSpPr>
      <xdr:spPr>
        <a:xfrm>
          <a:off x="6107231" y="1590553"/>
          <a:ext cx="871419" cy="280376"/>
        </a:xfrm>
        <a:prstGeom prst="roundRect">
          <a:avLst>
            <a:gd name="adj" fmla="val 15189"/>
          </a:avLst>
        </a:prstGeom>
        <a:solidFill>
          <a:srgbClr val="0353A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Masculino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487481</xdr:colOff>
      <xdr:row>8</xdr:row>
      <xdr:rowOff>117353</xdr:rowOff>
    </xdr:from>
    <xdr:to>
      <xdr:col>10</xdr:col>
      <xdr:colOff>304800</xdr:colOff>
      <xdr:row>10</xdr:row>
      <xdr:rowOff>29429</xdr:rowOff>
    </xdr:to>
    <xdr:sp macro="[0]!Out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F30BA931-E69D-4653-8AF1-70F593845BAC}"/>
            </a:ext>
          </a:extLst>
        </xdr:cNvPr>
        <xdr:cNvSpPr/>
      </xdr:nvSpPr>
      <xdr:spPr>
        <a:xfrm>
          <a:off x="7053381" y="1590553"/>
          <a:ext cx="871419" cy="280376"/>
        </a:xfrm>
        <a:prstGeom prst="roundRect">
          <a:avLst>
            <a:gd name="adj" fmla="val 15189"/>
          </a:avLst>
        </a:prstGeom>
        <a:solidFill>
          <a:srgbClr val="023E7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Outro</a:t>
          </a:r>
        </a:p>
      </xdr:txBody>
    </xdr:sp>
    <xdr:clientData/>
  </xdr:twoCellAnchor>
  <xdr:twoCellAnchor editAs="absolute">
    <xdr:from>
      <xdr:col>10</xdr:col>
      <xdr:colOff>57150</xdr:colOff>
      <xdr:row>6</xdr:row>
      <xdr:rowOff>120650</xdr:rowOff>
    </xdr:from>
    <xdr:to>
      <xdr:col>10</xdr:col>
      <xdr:colOff>309150</xdr:colOff>
      <xdr:row>8</xdr:row>
      <xdr:rowOff>0</xdr:rowOff>
    </xdr:to>
    <xdr:pic>
      <xdr:nvPicPr>
        <xdr:cNvPr id="4" name="Gráfico 3" descr="Filtro com preenchimento sólido">
          <a:extLst>
            <a:ext uri="{FF2B5EF4-FFF2-40B4-BE49-F238E27FC236}">
              <a16:creationId xmlns:a16="http://schemas.microsoft.com/office/drawing/2014/main" id="{A5763C24-D249-4BEE-8DD8-7F2AD9A6C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677150" y="1225550"/>
          <a:ext cx="252000" cy="25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E0444D-40A0-4197-AE5A-EB997C48F62C}" name="Tabela_Gabarito" displayName="Tabela_Gabarito" ref="A1:E22" totalsRowShown="0" headerRowDxfId="0" dataDxfId="6">
  <autoFilter ref="A1:E22" xr:uid="{D4E0444D-40A0-4197-AE5A-EB997C48F62C}"/>
  <sortState xmlns:xlrd2="http://schemas.microsoft.com/office/spreadsheetml/2017/richdata2" ref="A5:E22">
    <sortCondition ref="B1:B22"/>
  </sortState>
  <tableColumns count="5">
    <tableColumn id="1" xr3:uid="{4BFB5ABD-45CA-4281-9B19-2336D67B2EA8}" name="Nome" dataDxfId="5"/>
    <tableColumn id="2" xr3:uid="{03E1F833-4698-493B-8B67-1408DF925512}" name="Nascimento" dataDxfId="4"/>
    <tableColumn id="6" xr3:uid="{D0EAAF0B-61C1-4259-9247-855CD9DD982F}" name="Idade" dataDxfId="3">
      <calculatedColumnFormula>DATEDIF(Tabela_Gabarito[[#This Row],[Nascimento]],TODAY(),"Y")</calculatedColumnFormula>
    </tableColumn>
    <tableColumn id="3" xr3:uid="{3B71988C-392C-4CC8-BE89-9B0239DE7B4D}" name="Gênero" dataDxfId="2"/>
    <tableColumn id="5" xr3:uid="{2E0E102A-65E3-4B73-AC68-424A8088EAC0}" name="CPF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F75-39F9-4D5A-820A-219CD1605375}">
  <sheetPr codeName="Planilha2"/>
  <dimension ref="A1:L23"/>
  <sheetViews>
    <sheetView showGridLines="0" tabSelected="1" zoomScale="120" zoomScaleNormal="120" zoomScaleSheetLayoutView="40" workbookViewId="0">
      <selection activeCell="C15" sqref="C15"/>
    </sheetView>
  </sheetViews>
  <sheetFormatPr defaultRowHeight="14.4" x14ac:dyDescent="0.3"/>
  <cols>
    <col min="1" max="1" width="20.5546875" customWidth="1"/>
    <col min="2" max="2" width="14.6640625" customWidth="1"/>
    <col min="3" max="3" width="13.21875" customWidth="1"/>
    <col min="4" max="4" width="14.6640625" customWidth="1"/>
    <col min="5" max="5" width="8.33203125" customWidth="1"/>
    <col min="6" max="8" width="7.6640625" style="1" customWidth="1"/>
    <col min="9" max="13" width="7.6640625" customWidth="1"/>
    <col min="14" max="14" width="10.5546875" bestFit="1" customWidth="1"/>
  </cols>
  <sheetData>
    <row r="1" spans="1:12" x14ac:dyDescent="0.3">
      <c r="A1" s="7" t="s">
        <v>0</v>
      </c>
      <c r="B1" s="7" t="s">
        <v>1</v>
      </c>
      <c r="C1" s="7" t="s">
        <v>2</v>
      </c>
      <c r="D1" s="7" t="s">
        <v>3</v>
      </c>
      <c r="E1" s="2"/>
      <c r="H1"/>
    </row>
    <row r="2" spans="1:12" x14ac:dyDescent="0.3">
      <c r="A2" s="2" t="s">
        <v>8</v>
      </c>
      <c r="B2" s="2">
        <v>36650</v>
      </c>
      <c r="C2" s="2" t="s">
        <v>9</v>
      </c>
      <c r="D2" s="2">
        <v>38452883317</v>
      </c>
      <c r="E2" s="1"/>
      <c r="G2"/>
      <c r="H2"/>
    </row>
    <row r="3" spans="1:12" x14ac:dyDescent="0.3">
      <c r="A3" s="2" t="s">
        <v>27</v>
      </c>
      <c r="B3" s="2">
        <v>32519</v>
      </c>
      <c r="C3" s="2" t="s">
        <v>4</v>
      </c>
      <c r="D3" s="2">
        <v>12345678910</v>
      </c>
      <c r="E3" s="1"/>
      <c r="G3"/>
      <c r="H3"/>
    </row>
    <row r="4" spans="1:12" x14ac:dyDescent="0.3">
      <c r="A4" s="2" t="s">
        <v>26</v>
      </c>
      <c r="B4" s="2">
        <v>28785</v>
      </c>
      <c r="C4" s="2" t="s">
        <v>9</v>
      </c>
      <c r="D4" s="2">
        <v>78945612365</v>
      </c>
      <c r="E4" s="1"/>
      <c r="G4"/>
      <c r="H4"/>
    </row>
    <row r="5" spans="1:12" x14ac:dyDescent="0.3">
      <c r="A5" s="2" t="s">
        <v>10</v>
      </c>
      <c r="B5" s="2">
        <v>32637</v>
      </c>
      <c r="C5" s="2" t="s">
        <v>11</v>
      </c>
      <c r="D5" s="2">
        <v>21749772834</v>
      </c>
      <c r="E5" s="1"/>
      <c r="G5"/>
      <c r="H5"/>
    </row>
    <row r="6" spans="1:12" x14ac:dyDescent="0.3">
      <c r="A6" s="2" t="s">
        <v>14</v>
      </c>
      <c r="B6" s="2">
        <v>27024</v>
      </c>
      <c r="C6" s="2" t="s">
        <v>4</v>
      </c>
      <c r="D6" s="2">
        <v>85296374150</v>
      </c>
      <c r="E6" s="1"/>
      <c r="G6"/>
      <c r="H6"/>
    </row>
    <row r="7" spans="1:12" x14ac:dyDescent="0.3">
      <c r="A7" s="2" t="s">
        <v>20</v>
      </c>
      <c r="B7" s="2">
        <v>36324</v>
      </c>
      <c r="C7" s="2" t="s">
        <v>9</v>
      </c>
      <c r="D7" s="2">
        <v>36985214787</v>
      </c>
      <c r="E7" s="1"/>
      <c r="G7"/>
      <c r="H7"/>
    </row>
    <row r="8" spans="1:12" x14ac:dyDescent="0.3">
      <c r="A8" s="2" t="s">
        <v>13</v>
      </c>
      <c r="B8" s="2">
        <v>30901</v>
      </c>
      <c r="C8" s="2" t="s">
        <v>9</v>
      </c>
      <c r="D8" s="2">
        <v>98349338277</v>
      </c>
      <c r="E8" s="1"/>
      <c r="G8"/>
      <c r="H8"/>
      <c r="L8" s="6"/>
    </row>
    <row r="9" spans="1:12" x14ac:dyDescent="0.3">
      <c r="A9" s="2" t="s">
        <v>19</v>
      </c>
      <c r="B9" s="2">
        <v>34432</v>
      </c>
      <c r="C9" s="2" t="s">
        <v>9</v>
      </c>
      <c r="D9" s="2">
        <v>31276766518</v>
      </c>
      <c r="E9" s="1"/>
      <c r="G9"/>
      <c r="H9"/>
      <c r="L9" s="6"/>
    </row>
    <row r="10" spans="1:12" x14ac:dyDescent="0.3">
      <c r="A10" s="2" t="s">
        <v>6</v>
      </c>
      <c r="B10" s="2">
        <v>33924</v>
      </c>
      <c r="C10" s="2" t="s">
        <v>4</v>
      </c>
      <c r="D10" s="2">
        <v>96385274145</v>
      </c>
      <c r="E10" s="1"/>
      <c r="G10"/>
      <c r="H10"/>
    </row>
    <row r="11" spans="1:12" x14ac:dyDescent="0.3">
      <c r="A11" s="2" t="s">
        <v>18</v>
      </c>
      <c r="B11" s="2">
        <v>27409</v>
      </c>
      <c r="C11" s="2" t="s">
        <v>4</v>
      </c>
      <c r="D11" s="2">
        <v>12547896346</v>
      </c>
      <c r="E11" s="1"/>
      <c r="G11"/>
      <c r="H11"/>
    </row>
    <row r="12" spans="1:12" x14ac:dyDescent="0.3">
      <c r="A12" s="2" t="s">
        <v>22</v>
      </c>
      <c r="B12" s="2">
        <v>28758</v>
      </c>
      <c r="C12" s="2" t="s">
        <v>4</v>
      </c>
      <c r="D12" s="2">
        <v>54953538882</v>
      </c>
      <c r="E12" s="1"/>
      <c r="G12"/>
      <c r="H12"/>
    </row>
    <row r="13" spans="1:12" x14ac:dyDescent="0.3">
      <c r="A13" s="2" t="s">
        <v>12</v>
      </c>
      <c r="B13" s="2">
        <v>34709</v>
      </c>
      <c r="C13" s="2" t="s">
        <v>4</v>
      </c>
      <c r="D13" s="2">
        <v>52981615213</v>
      </c>
      <c r="E13" s="1"/>
      <c r="G13"/>
      <c r="H13"/>
    </row>
    <row r="14" spans="1:12" x14ac:dyDescent="0.3">
      <c r="A14" s="2" t="s">
        <v>24</v>
      </c>
      <c r="B14" s="2">
        <v>27185</v>
      </c>
      <c r="C14" s="2" t="s">
        <v>11</v>
      </c>
      <c r="D14" s="2">
        <v>12345678921</v>
      </c>
      <c r="E14" s="1"/>
      <c r="G14"/>
      <c r="H14"/>
    </row>
    <row r="15" spans="1:12" x14ac:dyDescent="0.3">
      <c r="A15" s="2" t="s">
        <v>21</v>
      </c>
      <c r="B15" s="2">
        <v>37410</v>
      </c>
      <c r="C15" s="2" t="s">
        <v>4</v>
      </c>
      <c r="D15" s="2">
        <v>96952134991</v>
      </c>
      <c r="E15" s="1"/>
      <c r="G15"/>
      <c r="H15"/>
    </row>
    <row r="16" spans="1:12" x14ac:dyDescent="0.3">
      <c r="A16" s="2" t="s">
        <v>25</v>
      </c>
      <c r="B16" s="2">
        <v>28059</v>
      </c>
      <c r="C16" s="2" t="s">
        <v>9</v>
      </c>
      <c r="D16" s="2">
        <v>45698712352</v>
      </c>
      <c r="E16" s="1"/>
      <c r="G16"/>
      <c r="H16"/>
    </row>
    <row r="17" spans="1:8" x14ac:dyDescent="0.3">
      <c r="A17" s="2" t="s">
        <v>7</v>
      </c>
      <c r="B17" s="2">
        <v>37302</v>
      </c>
      <c r="C17" s="2" t="s">
        <v>4</v>
      </c>
      <c r="D17" s="2">
        <v>15215977916</v>
      </c>
      <c r="E17" s="1"/>
      <c r="G17"/>
      <c r="H17"/>
    </row>
    <row r="18" spans="1:8" x14ac:dyDescent="0.3">
      <c r="A18" s="2" t="s">
        <v>28</v>
      </c>
      <c r="B18" s="2">
        <v>35897</v>
      </c>
      <c r="C18" s="2" t="s">
        <v>4</v>
      </c>
      <c r="D18" s="2">
        <v>78965432152</v>
      </c>
      <c r="E18" s="1"/>
      <c r="G18"/>
      <c r="H18"/>
    </row>
    <row r="19" spans="1:8" x14ac:dyDescent="0.3">
      <c r="A19" s="2" t="s">
        <v>17</v>
      </c>
      <c r="B19" s="2">
        <v>35364</v>
      </c>
      <c r="C19" s="2" t="s">
        <v>9</v>
      </c>
      <c r="D19" s="2">
        <v>72868825923</v>
      </c>
      <c r="E19" s="1"/>
      <c r="G19"/>
      <c r="H19"/>
    </row>
    <row r="20" spans="1:8" x14ac:dyDescent="0.3">
      <c r="A20" s="2" t="s">
        <v>15</v>
      </c>
      <c r="B20" s="2">
        <v>28266</v>
      </c>
      <c r="C20" s="2" t="s">
        <v>9</v>
      </c>
      <c r="D20" s="2">
        <v>20215469800</v>
      </c>
      <c r="E20" s="1"/>
      <c r="G20"/>
      <c r="H20"/>
    </row>
    <row r="21" spans="1:8" x14ac:dyDescent="0.3">
      <c r="A21" s="2" t="s">
        <v>16</v>
      </c>
      <c r="B21" s="2">
        <v>36896</v>
      </c>
      <c r="C21" s="2" t="s">
        <v>4</v>
      </c>
      <c r="D21" s="2">
        <v>66161746814</v>
      </c>
      <c r="E21" s="1"/>
      <c r="H21"/>
    </row>
    <row r="22" spans="1:8" x14ac:dyDescent="0.3">
      <c r="A22" s="2" t="s">
        <v>23</v>
      </c>
      <c r="B22" s="2">
        <v>33889</v>
      </c>
      <c r="C22" s="2" t="s">
        <v>11</v>
      </c>
      <c r="D22" s="2">
        <v>26631297984</v>
      </c>
      <c r="E22" s="1"/>
      <c r="H22"/>
    </row>
    <row r="23" spans="1:8" x14ac:dyDescent="0.3">
      <c r="A23" s="2"/>
      <c r="B23" s="2"/>
      <c r="C23" s="2"/>
      <c r="D23" s="2"/>
      <c r="E2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22"/>
  <sheetViews>
    <sheetView showGridLines="0" zoomScale="120" zoomScaleNormal="120" zoomScaleSheetLayoutView="40" workbookViewId="0">
      <selection activeCell="N7" sqref="N7"/>
    </sheetView>
  </sheetViews>
  <sheetFormatPr defaultRowHeight="14.4" x14ac:dyDescent="0.3"/>
  <cols>
    <col min="1" max="1" width="20.5546875" customWidth="1"/>
    <col min="2" max="2" width="14.6640625" customWidth="1"/>
    <col min="3" max="3" width="9" customWidth="1"/>
    <col min="4" max="4" width="13.21875" customWidth="1"/>
    <col min="5" max="5" width="14.6640625" customWidth="1"/>
    <col min="6" max="6" width="8.33203125" customWidth="1"/>
    <col min="7" max="9" width="7.6640625" style="1" customWidth="1"/>
    <col min="10" max="14" width="7.6640625" customWidth="1"/>
    <col min="15" max="15" width="10.5546875" bestFit="1" customWidth="1"/>
  </cols>
  <sheetData>
    <row r="1" spans="1:14" x14ac:dyDescent="0.3">
      <c r="A1" s="8" t="s">
        <v>0</v>
      </c>
      <c r="B1" s="8" t="s">
        <v>1</v>
      </c>
      <c r="C1" s="8" t="s">
        <v>5</v>
      </c>
      <c r="D1" s="8" t="s">
        <v>2</v>
      </c>
      <c r="E1" s="8" t="s">
        <v>3</v>
      </c>
      <c r="F1" s="1"/>
      <c r="I1"/>
    </row>
    <row r="2" spans="1:14" x14ac:dyDescent="0.3">
      <c r="A2" s="2" t="s">
        <v>8</v>
      </c>
      <c r="B2" s="3">
        <v>36650</v>
      </c>
      <c r="C2" s="4">
        <f ca="1">DATEDIF(Tabela_Gabarito[[#This Row],[Nascimento]],TODAY(),"Y")</f>
        <v>21</v>
      </c>
      <c r="D2" s="2" t="s">
        <v>9</v>
      </c>
      <c r="E2" s="5">
        <v>38452883317</v>
      </c>
      <c r="F2" s="1"/>
      <c r="I2"/>
    </row>
    <row r="3" spans="1:14" x14ac:dyDescent="0.3">
      <c r="A3" s="2" t="s">
        <v>27</v>
      </c>
      <c r="B3" s="3">
        <v>32519</v>
      </c>
      <c r="C3" s="4">
        <f ca="1">DATEDIF(Tabela_Gabarito[[#This Row],[Nascimento]],TODAY(),"Y")</f>
        <v>33</v>
      </c>
      <c r="D3" s="2" t="s">
        <v>4</v>
      </c>
      <c r="E3" s="5">
        <v>12345678910</v>
      </c>
      <c r="F3" s="1"/>
      <c r="I3"/>
    </row>
    <row r="4" spans="1:14" x14ac:dyDescent="0.3">
      <c r="A4" s="2" t="s">
        <v>26</v>
      </c>
      <c r="B4" s="3">
        <v>28785</v>
      </c>
      <c r="C4" s="4">
        <f ca="1">DATEDIF(Tabela_Gabarito[[#This Row],[Nascimento]],TODAY(),"Y")</f>
        <v>43</v>
      </c>
      <c r="D4" s="2" t="s">
        <v>9</v>
      </c>
      <c r="E4" s="5">
        <v>78945612365</v>
      </c>
      <c r="F4" s="1"/>
      <c r="I4"/>
    </row>
    <row r="5" spans="1:14" x14ac:dyDescent="0.3">
      <c r="A5" s="2" t="s">
        <v>24</v>
      </c>
      <c r="B5" s="3">
        <v>27185</v>
      </c>
      <c r="C5" s="4">
        <f ca="1">DATEDIF(Tabela_Gabarito[[#This Row],[Nascimento]],TODAY(),"Y")</f>
        <v>47</v>
      </c>
      <c r="D5" s="2" t="s">
        <v>11</v>
      </c>
      <c r="E5" s="5">
        <v>12345678921</v>
      </c>
      <c r="F5" s="1"/>
      <c r="I5"/>
    </row>
    <row r="6" spans="1:14" x14ac:dyDescent="0.3">
      <c r="A6" s="2" t="s">
        <v>14</v>
      </c>
      <c r="B6" s="3">
        <v>27024</v>
      </c>
      <c r="C6" s="4">
        <f ca="1">DATEDIF(Tabela_Gabarito[[#This Row],[Nascimento]],TODAY(),"Y")</f>
        <v>48</v>
      </c>
      <c r="D6" s="2" t="s">
        <v>4</v>
      </c>
      <c r="E6" s="5">
        <v>85296374150</v>
      </c>
      <c r="F6" s="1"/>
      <c r="I6"/>
    </row>
    <row r="7" spans="1:14" x14ac:dyDescent="0.3">
      <c r="A7" s="2" t="s">
        <v>20</v>
      </c>
      <c r="B7" s="3">
        <v>36324</v>
      </c>
      <c r="C7" s="4">
        <f ca="1">DATEDIF(Tabela_Gabarito[[#This Row],[Nascimento]],TODAY(),"Y")</f>
        <v>22</v>
      </c>
      <c r="D7" s="2" t="s">
        <v>9</v>
      </c>
      <c r="E7" s="5">
        <v>36985214787</v>
      </c>
      <c r="F7" s="1"/>
      <c r="I7"/>
    </row>
    <row r="8" spans="1:14" x14ac:dyDescent="0.3">
      <c r="A8" s="2" t="s">
        <v>13</v>
      </c>
      <c r="B8" s="3">
        <v>30901</v>
      </c>
      <c r="C8" s="4">
        <f ca="1">DATEDIF(Tabela_Gabarito[[#This Row],[Nascimento]],TODAY(),"Y")</f>
        <v>37</v>
      </c>
      <c r="D8" s="2" t="s">
        <v>9</v>
      </c>
      <c r="E8" s="5">
        <v>98349338277</v>
      </c>
      <c r="F8" s="1"/>
      <c r="I8"/>
      <c r="N8" s="6"/>
    </row>
    <row r="9" spans="1:14" x14ac:dyDescent="0.3">
      <c r="A9" s="2" t="s">
        <v>19</v>
      </c>
      <c r="B9" s="3">
        <v>34432</v>
      </c>
      <c r="C9" s="4">
        <f ca="1">DATEDIF(Tabela_Gabarito[[#This Row],[Nascimento]],TODAY(),"Y")</f>
        <v>28</v>
      </c>
      <c r="D9" s="2" t="s">
        <v>9</v>
      </c>
      <c r="E9" s="5">
        <v>31276766518</v>
      </c>
      <c r="F9" s="1"/>
      <c r="I9"/>
      <c r="N9" s="6"/>
    </row>
    <row r="10" spans="1:14" x14ac:dyDescent="0.3">
      <c r="A10" s="2" t="s">
        <v>6</v>
      </c>
      <c r="B10" s="3">
        <v>33924</v>
      </c>
      <c r="C10" s="4">
        <f ca="1">DATEDIF(Tabela_Gabarito[[#This Row],[Nascimento]],TODAY(),"Y")</f>
        <v>29</v>
      </c>
      <c r="D10" s="2" t="s">
        <v>4</v>
      </c>
      <c r="E10" s="5">
        <v>96385274145</v>
      </c>
      <c r="F10" s="1"/>
      <c r="I10"/>
    </row>
    <row r="11" spans="1:14" x14ac:dyDescent="0.3">
      <c r="A11" s="2" t="s">
        <v>18</v>
      </c>
      <c r="B11" s="3">
        <v>27409</v>
      </c>
      <c r="C11" s="4">
        <f ca="1">DATEDIF(Tabela_Gabarito[[#This Row],[Nascimento]],TODAY(),"Y")</f>
        <v>47</v>
      </c>
      <c r="D11" s="2" t="s">
        <v>4</v>
      </c>
      <c r="E11" s="5">
        <v>12547896346</v>
      </c>
      <c r="F11" s="1"/>
      <c r="I11"/>
    </row>
    <row r="12" spans="1:14" x14ac:dyDescent="0.3">
      <c r="A12" s="2" t="s">
        <v>22</v>
      </c>
      <c r="B12" s="3">
        <v>28758</v>
      </c>
      <c r="C12" s="4">
        <f ca="1">DATEDIF(Tabela_Gabarito[[#This Row],[Nascimento]],TODAY(),"Y")</f>
        <v>43</v>
      </c>
      <c r="D12" s="2" t="s">
        <v>4</v>
      </c>
      <c r="E12" s="5">
        <v>54953538882</v>
      </c>
      <c r="F12" s="1"/>
      <c r="I12"/>
    </row>
    <row r="13" spans="1:14" x14ac:dyDescent="0.3">
      <c r="A13" s="2" t="s">
        <v>12</v>
      </c>
      <c r="B13" s="3">
        <v>34709</v>
      </c>
      <c r="C13" s="4">
        <f ca="1">DATEDIF(Tabela_Gabarito[[#This Row],[Nascimento]],TODAY(),"Y")</f>
        <v>27</v>
      </c>
      <c r="D13" s="2" t="s">
        <v>4</v>
      </c>
      <c r="E13" s="5">
        <v>52981615213</v>
      </c>
      <c r="F13" s="1"/>
      <c r="I13"/>
    </row>
    <row r="14" spans="1:14" x14ac:dyDescent="0.3">
      <c r="A14" s="2" t="s">
        <v>10</v>
      </c>
      <c r="B14" s="3">
        <v>32637</v>
      </c>
      <c r="C14" s="4">
        <f ca="1">DATEDIF(Tabela_Gabarito[[#This Row],[Nascimento]],TODAY(),"Y")</f>
        <v>32</v>
      </c>
      <c r="D14" s="2" t="s">
        <v>11</v>
      </c>
      <c r="E14" s="5">
        <v>21749772834</v>
      </c>
      <c r="F14" s="1"/>
      <c r="I14"/>
    </row>
    <row r="15" spans="1:14" x14ac:dyDescent="0.3">
      <c r="A15" s="2" t="s">
        <v>21</v>
      </c>
      <c r="B15" s="3">
        <v>37410</v>
      </c>
      <c r="C15" s="4">
        <f ca="1">DATEDIF(Tabela_Gabarito[[#This Row],[Nascimento]],TODAY(),"Y")</f>
        <v>19</v>
      </c>
      <c r="D15" s="2" t="s">
        <v>4</v>
      </c>
      <c r="E15" s="5">
        <v>96952134991</v>
      </c>
      <c r="F15" s="1"/>
      <c r="I15"/>
    </row>
    <row r="16" spans="1:14" x14ac:dyDescent="0.3">
      <c r="A16" s="2" t="s">
        <v>25</v>
      </c>
      <c r="B16" s="3">
        <v>28059</v>
      </c>
      <c r="C16" s="4">
        <f ca="1">DATEDIF(Tabela_Gabarito[[#This Row],[Nascimento]],TODAY(),"Y")</f>
        <v>45</v>
      </c>
      <c r="D16" s="2" t="s">
        <v>9</v>
      </c>
      <c r="E16" s="5">
        <v>45698712352</v>
      </c>
      <c r="F16" s="1"/>
      <c r="I16"/>
    </row>
    <row r="17" spans="1:9" x14ac:dyDescent="0.3">
      <c r="A17" s="2" t="s">
        <v>7</v>
      </c>
      <c r="B17" s="3">
        <v>37302</v>
      </c>
      <c r="C17" s="4">
        <f ca="1">DATEDIF(Tabela_Gabarito[[#This Row],[Nascimento]],TODAY(),"Y")</f>
        <v>20</v>
      </c>
      <c r="D17" s="2" t="s">
        <v>4</v>
      </c>
      <c r="E17" s="5">
        <v>15215977916</v>
      </c>
      <c r="F17" s="1"/>
      <c r="I17"/>
    </row>
    <row r="18" spans="1:9" x14ac:dyDescent="0.3">
      <c r="A18" s="2" t="s">
        <v>28</v>
      </c>
      <c r="B18" s="3">
        <v>35897</v>
      </c>
      <c r="C18" s="4">
        <f ca="1">DATEDIF(Tabela_Gabarito[[#This Row],[Nascimento]],TODAY(),"Y")</f>
        <v>24</v>
      </c>
      <c r="D18" s="2" t="s">
        <v>4</v>
      </c>
      <c r="E18" s="5">
        <v>78965432152</v>
      </c>
      <c r="F18" s="1"/>
      <c r="I18"/>
    </row>
    <row r="19" spans="1:9" x14ac:dyDescent="0.3">
      <c r="A19" s="2" t="s">
        <v>17</v>
      </c>
      <c r="B19" s="3">
        <v>35364</v>
      </c>
      <c r="C19" s="4">
        <f ca="1">DATEDIF(Tabela_Gabarito[[#This Row],[Nascimento]],TODAY(),"Y")</f>
        <v>25</v>
      </c>
      <c r="D19" s="2" t="s">
        <v>9</v>
      </c>
      <c r="E19" s="5">
        <v>72868825923</v>
      </c>
      <c r="F19" s="1"/>
      <c r="I19"/>
    </row>
    <row r="20" spans="1:9" x14ac:dyDescent="0.3">
      <c r="A20" s="2" t="s">
        <v>15</v>
      </c>
      <c r="B20" s="3">
        <v>28266</v>
      </c>
      <c r="C20" s="4">
        <f ca="1">DATEDIF(Tabela_Gabarito[[#This Row],[Nascimento]],TODAY(),"Y")</f>
        <v>44</v>
      </c>
      <c r="D20" s="2" t="s">
        <v>9</v>
      </c>
      <c r="E20" s="5">
        <v>20215469800</v>
      </c>
      <c r="F20" s="1"/>
      <c r="I20"/>
    </row>
    <row r="21" spans="1:9" x14ac:dyDescent="0.3">
      <c r="A21" s="2" t="s">
        <v>16</v>
      </c>
      <c r="B21" s="3">
        <v>36896</v>
      </c>
      <c r="C21" s="4">
        <f ca="1">DATEDIF(Tabela_Gabarito[[#This Row],[Nascimento]],TODAY(),"Y")</f>
        <v>21</v>
      </c>
      <c r="D21" s="2" t="s">
        <v>4</v>
      </c>
      <c r="E21" s="5">
        <v>66161746814</v>
      </c>
    </row>
    <row r="22" spans="1:9" x14ac:dyDescent="0.3">
      <c r="A22" s="2" t="s">
        <v>23</v>
      </c>
      <c r="B22" s="3">
        <v>33889</v>
      </c>
      <c r="C22" s="4">
        <f ca="1">DATEDIF(Tabela_Gabarito[[#This Row],[Nascimento]],TODAY(),"Y")</f>
        <v>29</v>
      </c>
      <c r="D22" s="2" t="s">
        <v>11</v>
      </c>
      <c r="E22" s="5">
        <v>26631297984</v>
      </c>
    </row>
  </sheetData>
  <dataValidations count="2">
    <dataValidation type="textLength" operator="equal" allowBlank="1" showInputMessage="1" showErrorMessage="1" errorTitle="Prezado," error="O CPF cadastrado precisa conter 11 números." sqref="E2:E22" xr:uid="{046D7986-6C74-4A3A-84A9-1ABD446F5128}">
      <formula1>11</formula1>
    </dataValidation>
    <dataValidation type="list" allowBlank="1" showInputMessage="1" showErrorMessage="1" errorTitle="Prezado," error="As opções de gênero possíveis são: Feminino, Masculino e Outro." sqref="D2:D22" xr:uid="{6B448815-1995-4E18-82E6-D09DD089D4C2}">
      <formula1>"Feminino,Masculino,Outro"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 (Prática)</vt:lpstr>
      <vt:lpstr>Cadastro (Gabarito)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thoni rodrigues</cp:lastModifiedBy>
  <dcterms:created xsi:type="dcterms:W3CDTF">2015-06-05T18:17:20Z</dcterms:created>
  <dcterms:modified xsi:type="dcterms:W3CDTF">2022-04-18T05:47:33Z</dcterms:modified>
</cp:coreProperties>
</file>